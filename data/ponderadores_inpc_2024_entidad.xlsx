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an.mendoza\Documents\estructura  programa INPC\actualizacion\"/>
    </mc:Choice>
  </mc:AlternateContent>
  <xr:revisionPtr revIDLastSave="0" documentId="13_ncr:1_{B479EC5C-9F30-424C-98A7-F283BEF1CF69}" xr6:coauthVersionLast="47" xr6:coauthVersionMax="47" xr10:uidLastSave="{00000000-0000-0000-0000-000000000000}"/>
  <bookViews>
    <workbookView xWindow="-120" yWindow="-120" windowWidth="38640" windowHeight="21240" xr2:uid="{8A8DEAAB-07B2-4DD9-B644-69A713FB9B33}"/>
  </bookViews>
  <sheets>
    <sheet name="CCIF_Entid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0" i="1" l="1"/>
  <c r="AH19" i="1"/>
  <c r="AH18" i="1"/>
  <c r="AH17" i="1"/>
  <c r="AH16" i="1"/>
  <c r="AH15" i="1"/>
  <c r="AH14" i="1"/>
  <c r="AH13" i="1"/>
  <c r="AH12" i="1"/>
  <c r="AH11" i="1"/>
  <c r="AH10" i="1"/>
  <c r="AH9" i="1"/>
  <c r="AH21" i="1" s="1"/>
  <c r="AH8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 l="1"/>
</calcChain>
</file>

<file path=xl/sharedStrings.xml><?xml version="1.0" encoding="utf-8"?>
<sst xmlns="http://schemas.openxmlformats.org/spreadsheetml/2006/main" count="61" uniqueCount="61">
  <si>
    <t>ÍNDICE NACIONAL DE PRECIOS AL CONSUMIDOR</t>
  </si>
  <si>
    <r>
      <t>Base 2.</t>
    </r>
    <r>
      <rPr>
        <b/>
        <vertAlign val="superscript"/>
        <sz val="18"/>
        <rFont val="Arial"/>
        <family val="2"/>
      </rPr>
      <t>a</t>
    </r>
    <r>
      <rPr>
        <b/>
        <sz val="18"/>
        <rFont val="Arial"/>
        <family val="2"/>
      </rPr>
      <t xml:space="preserve"> quincena de julio de 2018 = 100</t>
    </r>
  </si>
  <si>
    <t>Indice general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</si>
  <si>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</si>
  <si>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</si>
  <si>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</si>
  <si>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</si>
  <si>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</si>
  <si>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</si>
  <si>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</si>
  <si>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Colima</t>
  </si>
  <si>
    <t>Durango</t>
  </si>
  <si>
    <t>Guanajuato</t>
  </si>
  <si>
    <t>Guerrero</t>
  </si>
  <si>
    <t>Hidalgo</t>
  </si>
  <si>
    <t>Jalisco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</si>
  <si>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</si>
  <si>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</si>
  <si>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</si>
  <si>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</si>
  <si>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</si>
  <si>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</si>
  <si>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</si>
  <si>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</si>
  <si>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</si>
  <si>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</si>
  <si>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</si>
  <si>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</si>
  <si>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</si>
  <si>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Yucatán</t>
  </si>
  <si>
    <t>Zacatecas</t>
  </si>
  <si>
    <t>Nacional</t>
  </si>
  <si>
    <t>Alimentos y bebidas no alcohólicas</t>
  </si>
  <si>
    <t>Ropa y calzado</t>
  </si>
  <si>
    <t>Salud</t>
  </si>
  <si>
    <t>Transporte</t>
  </si>
  <si>
    <t>Total</t>
  </si>
  <si>
    <t>ponderador correspondiente a los municipios que son</t>
  </si>
  <si>
    <t>conurbados a la Ciudad de México.  La Ciudad de México</t>
  </si>
  <si>
    <t xml:space="preserve">considera en su ponderación el -Area Metropolitana- </t>
  </si>
  <si>
    <t xml:space="preserve">que incluye los municipios conurbados del E. de M. </t>
  </si>
  <si>
    <t>Ponderadores nacionales conforme a la Clasificación del Consumo Individual por Finalidades (13 divisiones) y por entidad federativa</t>
  </si>
  <si>
    <t>Factor de encadenamiento</t>
  </si>
  <si>
    <t>Mobiliario, equipo doméstico y mantenimiento rutinario del hogar</t>
  </si>
  <si>
    <t>Información y comunicación</t>
  </si>
  <si>
    <t>Recreación, deporte y cultura</t>
  </si>
  <si>
    <t>Servicios educativos</t>
  </si>
  <si>
    <t>Restaurantes y servicios de alojamiento</t>
  </si>
  <si>
    <t>Seguros y servicios financieros</t>
  </si>
  <si>
    <t>Cuidado personal, protección social y bienes diversos</t>
  </si>
  <si>
    <r>
      <t>Vigentes a partir de la 2.</t>
    </r>
    <r>
      <rPr>
        <vertAlign val="superscript"/>
        <sz val="18"/>
        <rFont val="Arial"/>
        <family val="2"/>
      </rPr>
      <t>a</t>
    </r>
    <r>
      <rPr>
        <sz val="18"/>
        <rFont val="Arial"/>
        <family val="2"/>
      </rPr>
      <t xml:space="preserve"> quincena de julio de 2024</t>
    </r>
  </si>
  <si>
    <t>Bebidas alcohólicas y tabaco</t>
  </si>
  <si>
    <t>Vivienda, agua, electricidad y gas</t>
  </si>
  <si>
    <t>Coahuila de Zaragoza</t>
  </si>
  <si>
    <t>México</t>
  </si>
  <si>
    <t>Michoacán de Ocampo</t>
  </si>
  <si>
    <t>Veracruz de Ignacio de la Llave</t>
  </si>
  <si>
    <r>
      <rPr>
        <b/>
        <sz val="12"/>
        <color theme="1"/>
        <rFont val="Calibri"/>
        <family val="2"/>
      </rPr>
      <t>Nota 1.</t>
    </r>
    <r>
      <rPr>
        <sz val="11"/>
        <color theme="1"/>
        <rFont val="Calibri"/>
        <family val="2"/>
      </rPr>
      <t xml:space="preserve"> En el Estado de México no se ha considerado el </t>
    </r>
  </si>
  <si>
    <t xml:space="preserve">a que los nombres de algunas entidades federativas no </t>
  </si>
  <si>
    <t>correspondían con los vectores de ponderadores.</t>
  </si>
  <si>
    <r>
      <rPr>
        <b/>
        <sz val="11"/>
        <color theme="1"/>
        <rFont val="Calibri"/>
        <family val="2"/>
        <scheme val="minor"/>
      </rPr>
      <t>Nota 2</t>
    </r>
    <r>
      <rPr>
        <sz val="11"/>
        <color theme="1"/>
        <rFont val="Calibri"/>
        <family val="2"/>
        <scheme val="minor"/>
      </rPr>
      <t xml:space="preserve">. El 28 de agosto de 2024 se actualizó el archivo debido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</si>
</sst>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name val="Arial"/>
      <family val="2"/>
    </font>
    <font>
      <b/>
      <vertAlign val="superscript"/>
      <sz val="18"/>
      <name val="Arial"/>
      <family val="2"/>
    </font>
    <font>
      <b/>
      <sz val="11"/>
      <name val="Arial"/>
      <family val="2"/>
    </font>
    <font>
      <sz val="18"/>
      <name val="Arial"/>
      <family val="2"/>
    </font>
    <font>
      <vertAlign val="superscript"/>
      <sz val="18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indexed="8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medium">
        <color auto="1"/>
      </right>
      <top/>
      <bottom style="double">
        <color auto="1"/>
      </bottom>
      <diagonal/>
    </border>
  </borders>
  <cellStyleXfs count="6">
    <xf numFmtId="0" fontId="0" fillId="0" borderId="0"/>
    <xf numFmtId="0" fontId="1" fillId="0" borderId="0"/>
    <xf numFmtId="0" fontId="9" fillId="0" borderId="0"/>
    <xf numFmtId="0" fontId="11" fillId="0" borderId="0"/>
    <xf numFmtId="0" fontId="12" fillId="0" borderId="0"/>
    <xf numFmtId="0" fontId="15" fillId="0" borderId="0"/>
  </cellStyleXfs>
  <cellXfs count="37">
    <xf numFmtId="0" fontId="0" fillId="0" borderId="0" xfId="0"/>
    <xf numFmtId="0" fontId="3" fillId="2" borderId="0" xfId="0" applyFont="1" applyFill="1" applyAlignment="1">
      <alignment horizontal="center"/>
    </xf>
    <xf numFmtId="0" fontId="0" fillId="2" borderId="0" xfId="0" applyFill="1"/>
    <xf numFmtId="0" fontId="6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10" fillId="3" borderId="1" xfId="2" applyFont="1" applyFill="1" applyBorder="1" applyAlignment="1">
      <alignment horizontal="center" vertical="center" wrapText="1"/>
    </xf>
    <xf numFmtId="0" fontId="1" fillId="0" borderId="0" xfId="3" applyFont="1"/>
    <xf numFmtId="164" fontId="1" fillId="0" borderId="0" xfId="3" applyNumberFormat="1" applyFont="1"/>
    <xf numFmtId="164" fontId="13" fillId="0" borderId="9" xfId="4" applyNumberFormat="1" applyFont="1" applyBorder="1" applyAlignment="1">
      <alignment horizontal="center" vertical="center"/>
    </xf>
    <xf numFmtId="0" fontId="15" fillId="0" borderId="0" xfId="5"/>
    <xf numFmtId="0" fontId="10" fillId="3" borderId="2" xfId="2" applyFont="1" applyFill="1" applyBorder="1" applyAlignment="1">
      <alignment horizontal="center" vertical="center" wrapText="1"/>
    </xf>
    <xf numFmtId="164" fontId="13" fillId="0" borderId="10" xfId="4" applyNumberFormat="1" applyFont="1" applyBorder="1" applyAlignment="1">
      <alignment horizontal="center" vertical="center"/>
    </xf>
    <xf numFmtId="164" fontId="2" fillId="3" borderId="11" xfId="1" applyNumberFormat="1" applyFont="1" applyFill="1" applyBorder="1" applyAlignment="1">
      <alignment horizontal="center" vertical="center" wrapText="1"/>
    </xf>
    <xf numFmtId="164" fontId="14" fillId="0" borderId="12" xfId="4" applyNumberFormat="1" applyFont="1" applyBorder="1" applyAlignment="1">
      <alignment horizontal="center" vertical="center"/>
    </xf>
    <xf numFmtId="164" fontId="14" fillId="0" borderId="13" xfId="4" applyNumberFormat="1" applyFont="1" applyBorder="1" applyAlignment="1">
      <alignment horizontal="center" vertical="center"/>
    </xf>
    <xf numFmtId="164" fontId="14" fillId="0" borderId="14" xfId="4" applyNumberFormat="1" applyFont="1" applyBorder="1" applyAlignment="1">
      <alignment horizontal="center" vertical="center"/>
    </xf>
    <xf numFmtId="164" fontId="2" fillId="0" borderId="15" xfId="1" applyNumberFormat="1" applyFont="1" applyBorder="1" applyAlignment="1">
      <alignment horizontal="center"/>
    </xf>
    <xf numFmtId="0" fontId="10" fillId="3" borderId="17" xfId="2" applyFont="1" applyFill="1" applyBorder="1" applyAlignment="1">
      <alignment horizontal="center" vertical="center" wrapText="1"/>
    </xf>
    <xf numFmtId="164" fontId="13" fillId="0" borderId="21" xfId="4" applyNumberFormat="1" applyFont="1" applyBorder="1" applyAlignment="1">
      <alignment horizontal="center" vertical="center"/>
    </xf>
    <xf numFmtId="0" fontId="2" fillId="3" borderId="16" xfId="1" applyFont="1" applyFill="1" applyBorder="1" applyAlignment="1">
      <alignment horizontal="center" vertical="center" wrapText="1"/>
    </xf>
    <xf numFmtId="0" fontId="13" fillId="0" borderId="22" xfId="4" applyFont="1" applyBorder="1" applyAlignment="1">
      <alignment horizontal="left" indent="1"/>
    </xf>
    <xf numFmtId="0" fontId="13" fillId="0" borderId="23" xfId="4" applyFont="1" applyBorder="1" applyAlignment="1">
      <alignment horizontal="left" indent="1"/>
    </xf>
    <xf numFmtId="0" fontId="13" fillId="0" borderId="24" xfId="4" applyFont="1" applyBorder="1" applyAlignment="1">
      <alignment horizontal="left" indent="1"/>
    </xf>
    <xf numFmtId="0" fontId="2" fillId="0" borderId="25" xfId="1" applyFont="1" applyBorder="1" applyAlignment="1">
      <alignment horizontal="center"/>
    </xf>
    <xf numFmtId="165" fontId="14" fillId="0" borderId="18" xfId="4" applyNumberFormat="1" applyFont="1" applyBorder="1" applyAlignment="1">
      <alignment horizontal="center" vertical="center"/>
    </xf>
    <xf numFmtId="165" fontId="14" fillId="0" borderId="3" xfId="4" applyNumberFormat="1" applyFont="1" applyBorder="1" applyAlignment="1">
      <alignment horizontal="center" vertical="center"/>
    </xf>
    <xf numFmtId="165" fontId="14" fillId="0" borderId="19" xfId="4" applyNumberFormat="1" applyFont="1" applyBorder="1" applyAlignment="1">
      <alignment horizontal="center" vertical="center"/>
    </xf>
    <xf numFmtId="165" fontId="14" fillId="0" borderId="5" xfId="4" applyNumberFormat="1" applyFont="1" applyBorder="1" applyAlignment="1">
      <alignment horizontal="center" vertical="center"/>
    </xf>
    <xf numFmtId="165" fontId="14" fillId="0" borderId="20" xfId="4" applyNumberFormat="1" applyFont="1" applyBorder="1" applyAlignment="1">
      <alignment horizontal="center" vertical="center"/>
    </xf>
    <xf numFmtId="165" fontId="14" fillId="0" borderId="7" xfId="4" applyNumberFormat="1" applyFont="1" applyBorder="1" applyAlignment="1">
      <alignment horizontal="center" vertical="center"/>
    </xf>
    <xf numFmtId="164" fontId="15" fillId="0" borderId="0" xfId="5" applyNumberFormat="1"/>
    <xf numFmtId="165" fontId="13" fillId="0" borderId="4" xfId="4" applyNumberFormat="1" applyFont="1" applyBorder="1" applyAlignment="1">
      <alignment horizontal="center" vertical="center"/>
    </xf>
    <xf numFmtId="165" fontId="13" fillId="0" borderId="6" xfId="4" applyNumberFormat="1" applyFont="1" applyBorder="1" applyAlignment="1">
      <alignment horizontal="center" vertical="center"/>
    </xf>
    <xf numFmtId="165" fontId="13" fillId="0" borderId="8" xfId="4" applyNumberFormat="1" applyFont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</cellXfs>
  <cellStyles count="6">
    <cellStyle name="Normal" xfId="0" builtinId="0"/>
    <cellStyle name="Normal 11" xfId="4" xr:uid="{B96E4331-935D-4830-9EE8-9DF376798E68}"/>
    <cellStyle name="Normal 2" xfId="1" xr:uid="{A51B2F83-37D7-4683-9FA0-AC11CE048155}"/>
    <cellStyle name="Normal 3" xfId="5" xr:uid="{9FC767B3-9565-46F5-8026-0C25E56146C3}"/>
    <cellStyle name="Normal 3 2" xfId="3" xr:uid="{A5A84C6D-B131-4484-A991-892F1708EAF5}"/>
    <cellStyle name="Normal_Hoja1" xfId="2" xr:uid="{EDE5B1A3-9FBD-442F-B79A-85EAE3BDD5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3298030</xdr:colOff>
      <xdr:row>4</xdr:row>
      <xdr:rowOff>133350</xdr:rowOff>
    </xdr:to>
    <xdr:pic>
      <xdr:nvPicPr>
        <xdr:cNvPr id="2" name="Imagen 1" descr="http://intranet.inegi.org.mx/Servicios/Difusion/Imagen_Institucional/img/2019/Logo_INEGI.jpg">
          <a:extLst>
            <a:ext uri="{FF2B5EF4-FFF2-40B4-BE49-F238E27FC236}">
              <a16:creationId xmlns:a16="http://schemas.microsoft.com/office/drawing/2014/main" id="{B2D4CCBB-AD13-42FC-A089-87E0B2A83E1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275"/>
          <a:ext cx="3012280" cy="9525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0551-C617-46A7-A7DD-C2B22DDBE0CA}">
  <dimension ref="A1:AL35"/>
  <sheetViews>
    <sheetView showGridLines="0" tabSelected="1" zoomScale="80" zoomScaleNormal="8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29" sqref="A29"/>
    </sheetView>
  </sheetViews>
  <sheetFormatPr baseColWidth="10" defaultColWidth="12.85546875" defaultRowHeight="15" x14ac:dyDescent="0.25"/>
  <cols>
    <col min="1" max="1" width="60.85546875" style="9" customWidth="1"/>
    <col min="2" max="34" width="14.5703125" style="9" customWidth="1"/>
    <col min="35" max="35" width="2.7109375" customWidth="1"/>
    <col min="36" max="36" width="16.140625" style="9" customWidth="1"/>
    <col min="37" max="16384" width="12.85546875" style="9"/>
  </cols>
  <sheetData>
    <row r="1" spans="1:38" customFormat="1" ht="23.25" x14ac:dyDescent="0.3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1"/>
    </row>
    <row r="2" spans="1:38" customFormat="1" ht="26.25" x14ac:dyDescent="0.35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1"/>
    </row>
    <row r="3" spans="1:38" customFormat="1" x14ac:dyDescent="0.25">
      <c r="A3" s="2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</row>
    <row r="4" spans="1:38" customFormat="1" ht="23.25" x14ac:dyDescent="0.35">
      <c r="A4" s="36" t="s">
        <v>41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"/>
    </row>
    <row r="5" spans="1:38" customFormat="1" ht="27.75" x14ac:dyDescent="0.35">
      <c r="A5" s="36" t="s">
        <v>50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"/>
    </row>
    <row r="6" spans="1:38" customFormat="1" ht="24" thickBot="1" x14ac:dyDescent="0.4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8" s="6" customFormat="1" ht="46.5" thickTop="1" thickBot="1" x14ac:dyDescent="0.3">
      <c r="A7" s="19" t="s">
        <v>2</v>
      </c>
      <c r="B7" s="17" t="s">
        <v>3</v>
      </c>
      <c r="C7" s="5" t="s">
        <v>4</v>
      </c>
      <c r="D7" s="5" t="s">
        <v>5</v>
      </c>
      <c r="E7" s="5" t="s">
        <v>6</v>
      </c>
      <c r="F7" s="5" t="s">
        <v>53</v>
      </c>
      <c r="G7" s="5" t="s">
        <v>10</v>
      </c>
      <c r="H7" s="5" t="s">
        <v>7</v>
      </c>
      <c r="I7" s="5" t="s">
        <v>8</v>
      </c>
      <c r="J7" s="5" t="s">
        <v>9</v>
      </c>
      <c r="K7" s="5" t="s">
        <v>11</v>
      </c>
      <c r="L7" s="5" t="s">
        <v>12</v>
      </c>
      <c r="M7" s="5" t="s">
        <v>13</v>
      </c>
      <c r="N7" s="5" t="s">
        <v>14</v>
      </c>
      <c r="O7" s="5" t="s">
        <v>15</v>
      </c>
      <c r="P7" s="5" t="s">
        <v>54</v>
      </c>
      <c r="Q7" s="5" t="s">
        <v>55</v>
      </c>
      <c r="R7" s="5" t="s">
        <v>16</v>
      </c>
      <c r="S7" s="5" t="s">
        <v>17</v>
      </c>
      <c r="T7" s="5" t="s">
        <v>18</v>
      </c>
      <c r="U7" s="5" t="s">
        <v>19</v>
      </c>
      <c r="V7" s="5" t="s">
        <v>20</v>
      </c>
      <c r="W7" s="5" t="s">
        <v>21</v>
      </c>
      <c r="X7" s="5" t="s">
        <v>22</v>
      </c>
      <c r="Y7" s="5" t="s">
        <v>23</v>
      </c>
      <c r="Z7" s="5" t="s">
        <v>24</v>
      </c>
      <c r="AA7" s="5" t="s">
        <v>25</v>
      </c>
      <c r="AB7" s="5" t="s">
        <v>26</v>
      </c>
      <c r="AC7" s="5" t="s">
        <v>27</v>
      </c>
      <c r="AD7" s="5" t="s">
        <v>28</v>
      </c>
      <c r="AE7" s="5" t="s">
        <v>56</v>
      </c>
      <c r="AF7" s="5" t="s">
        <v>29</v>
      </c>
      <c r="AG7" s="5" t="s">
        <v>30</v>
      </c>
      <c r="AH7" s="10" t="s">
        <v>31</v>
      </c>
      <c r="AI7"/>
      <c r="AJ7" s="12" t="s">
        <v>42</v>
      </c>
    </row>
    <row r="8" spans="1:38" s="6" customFormat="1" ht="15.75" thickTop="1" x14ac:dyDescent="0.25">
      <c r="A8" s="20" t="s">
        <v>32</v>
      </c>
      <c r="B8" s="24">
        <v>0.23092577925726077</v>
      </c>
      <c r="C8" s="25">
        <v>0.5579861120110855</v>
      </c>
      <c r="D8" s="25">
        <v>0.15656791177583623</v>
      </c>
      <c r="E8" s="25">
        <v>0.14302445490518917</v>
      </c>
      <c r="F8" s="25">
        <v>0.57001745081094746</v>
      </c>
      <c r="G8" s="25">
        <v>0.14108439695436287</v>
      </c>
      <c r="H8" s="25">
        <v>0.7958419550280823</v>
      </c>
      <c r="I8" s="25">
        <v>0.54955244727825969</v>
      </c>
      <c r="J8" s="25">
        <v>5.0526677443539914</v>
      </c>
      <c r="K8" s="25">
        <v>0.20084145880179946</v>
      </c>
      <c r="L8" s="25">
        <v>0.96878798760748686</v>
      </c>
      <c r="M8" s="25">
        <v>0.51463498704391952</v>
      </c>
      <c r="N8" s="25">
        <v>0.51366643091703368</v>
      </c>
      <c r="O8" s="25">
        <v>1.4587994674884079</v>
      </c>
      <c r="P8" s="25">
        <v>0.95067155255510738</v>
      </c>
      <c r="Q8" s="25">
        <v>0.83035938099891637</v>
      </c>
      <c r="R8" s="25">
        <v>0.33356341716744958</v>
      </c>
      <c r="S8" s="25">
        <v>0.21420669539968804</v>
      </c>
      <c r="T8" s="25">
        <v>0.9380038057365383</v>
      </c>
      <c r="U8" s="25">
        <v>0.68998895275787619</v>
      </c>
      <c r="V8" s="25">
        <v>1.0421170463634171</v>
      </c>
      <c r="W8" s="25">
        <v>0.43353345397276027</v>
      </c>
      <c r="X8" s="25">
        <v>0.32994834760450659</v>
      </c>
      <c r="Y8" s="25">
        <v>0.45412691535315075</v>
      </c>
      <c r="Z8" s="25">
        <v>0.49533375677575991</v>
      </c>
      <c r="AA8" s="25">
        <v>0.43887781808901605</v>
      </c>
      <c r="AB8" s="25">
        <v>0.36779919508685727</v>
      </c>
      <c r="AC8" s="25">
        <v>0.59217704687762873</v>
      </c>
      <c r="AD8" s="25">
        <v>0.20484341279260004</v>
      </c>
      <c r="AE8" s="25">
        <v>1.2861060358564798</v>
      </c>
      <c r="AF8" s="25">
        <v>0.35635266712039793</v>
      </c>
      <c r="AG8" s="25">
        <v>0.23987164884290474</v>
      </c>
      <c r="AH8" s="31">
        <f>+SUM(B8:AG8)</f>
        <v>22.052279733584715</v>
      </c>
      <c r="AI8"/>
      <c r="AJ8" s="13">
        <v>1.5839802449489466</v>
      </c>
      <c r="AK8" s="7"/>
      <c r="AL8" s="7"/>
    </row>
    <row r="9" spans="1:38" s="6" customFormat="1" x14ac:dyDescent="0.25">
      <c r="A9" s="21" t="s">
        <v>51</v>
      </c>
      <c r="B9" s="26">
        <v>0.10161590964422976</v>
      </c>
      <c r="C9" s="27">
        <v>7.268201814366243E-2</v>
      </c>
      <c r="D9" s="27">
        <v>3.311956130054336E-2</v>
      </c>
      <c r="E9" s="27">
        <v>2.6132291083918083E-2</v>
      </c>
      <c r="F9" s="27">
        <v>4.8365242616292804E-2</v>
      </c>
      <c r="G9" s="27">
        <v>6.5577528254202331E-3</v>
      </c>
      <c r="H9" s="27">
        <v>3.0811285765988974E-2</v>
      </c>
      <c r="I9" s="27">
        <v>8.0272635570764111E-2</v>
      </c>
      <c r="J9" s="27">
        <v>0.38192204376578853</v>
      </c>
      <c r="K9" s="27">
        <v>2.4540574095849477E-2</v>
      </c>
      <c r="L9" s="27">
        <v>7.7799501562650697E-2</v>
      </c>
      <c r="M9" s="27">
        <v>1.6645615884916764E-2</v>
      </c>
      <c r="N9" s="27">
        <v>1.3165096134536824E-2</v>
      </c>
      <c r="O9" s="27">
        <v>0.4004142501807515</v>
      </c>
      <c r="P9" s="27">
        <v>2.4750754983259952E-2</v>
      </c>
      <c r="Q9" s="27">
        <v>4.7584119868014176E-2</v>
      </c>
      <c r="R9" s="27">
        <v>1.3592865530556459E-2</v>
      </c>
      <c r="S9" s="27">
        <v>1.9835935385151819E-2</v>
      </c>
      <c r="T9" s="27">
        <v>0.10059951694832464</v>
      </c>
      <c r="U9" s="27">
        <v>3.6137716799771132E-2</v>
      </c>
      <c r="V9" s="27">
        <v>4.791579671380039E-2</v>
      </c>
      <c r="W9" s="27">
        <v>6.1804236865792707E-2</v>
      </c>
      <c r="X9" s="27">
        <v>0.15839621293535169</v>
      </c>
      <c r="Y9" s="27">
        <v>2.5373514091397622E-2</v>
      </c>
      <c r="Z9" s="27">
        <v>6.6851707757971446E-2</v>
      </c>
      <c r="AA9" s="27">
        <v>6.2507916213170381E-2</v>
      </c>
      <c r="AB9" s="27">
        <v>6.1053096276917913E-2</v>
      </c>
      <c r="AC9" s="27">
        <v>3.4566363434662864E-2</v>
      </c>
      <c r="AD9" s="27">
        <v>8.2816402536987875E-3</v>
      </c>
      <c r="AE9" s="27">
        <v>5.8262894811298864E-2</v>
      </c>
      <c r="AF9" s="27">
        <v>0.13062622549558545</v>
      </c>
      <c r="AG9" s="27">
        <v>1.7825996673908884E-2</v>
      </c>
      <c r="AH9" s="32">
        <f t="shared" ref="AH9:AH20" si="0">+SUM(B9:AG9)</f>
        <v>2.2900102896139485</v>
      </c>
      <c r="AI9"/>
      <c r="AJ9" s="14">
        <v>1.4292739969693744</v>
      </c>
      <c r="AK9" s="7"/>
      <c r="AL9" s="7"/>
    </row>
    <row r="10" spans="1:38" s="6" customFormat="1" x14ac:dyDescent="0.25">
      <c r="A10" s="21" t="s">
        <v>33</v>
      </c>
      <c r="B10" s="26">
        <v>5.4657349257543987E-2</v>
      </c>
      <c r="C10" s="27">
        <v>0.18987398035728953</v>
      </c>
      <c r="D10" s="27">
        <v>3.7626333897201387E-2</v>
      </c>
      <c r="E10" s="27">
        <v>2.3975105886778907E-2</v>
      </c>
      <c r="F10" s="27">
        <v>0.13246526965968364</v>
      </c>
      <c r="G10" s="27">
        <v>3.337130646900803E-2</v>
      </c>
      <c r="H10" s="27">
        <v>0.10779049978194705</v>
      </c>
      <c r="I10" s="27">
        <v>0.1152075133651245</v>
      </c>
      <c r="J10" s="27">
        <v>0.90830993302590479</v>
      </c>
      <c r="K10" s="27">
        <v>5.4383163754838516E-2</v>
      </c>
      <c r="L10" s="27">
        <v>0.17155241631252865</v>
      </c>
      <c r="M10" s="27">
        <v>7.2634808719447316E-2</v>
      </c>
      <c r="N10" s="27">
        <v>9.3740332196425594E-2</v>
      </c>
      <c r="O10" s="27">
        <v>0.28814618525678765</v>
      </c>
      <c r="P10" s="27">
        <v>0.14586406943920793</v>
      </c>
      <c r="Q10" s="27">
        <v>0.17767105408087619</v>
      </c>
      <c r="R10" s="27">
        <v>5.1636899120125715E-2</v>
      </c>
      <c r="S10" s="27">
        <v>4.3693671646094209E-2</v>
      </c>
      <c r="T10" s="27">
        <v>0.18887380468644505</v>
      </c>
      <c r="U10" s="27">
        <v>0.1176197021691438</v>
      </c>
      <c r="V10" s="27">
        <v>0.16024281051919825</v>
      </c>
      <c r="W10" s="27">
        <v>8.3920716538195467E-2</v>
      </c>
      <c r="X10" s="27">
        <v>7.713650655356849E-2</v>
      </c>
      <c r="Y10" s="27">
        <v>9.7041611513374648E-2</v>
      </c>
      <c r="Z10" s="27">
        <v>0.124414325562951</v>
      </c>
      <c r="AA10" s="27">
        <v>0.1235427014194975</v>
      </c>
      <c r="AB10" s="27">
        <v>5.6649788375746753E-2</v>
      </c>
      <c r="AC10" s="27">
        <v>0.11033099423194639</v>
      </c>
      <c r="AD10" s="27">
        <v>4.0271142172631322E-2</v>
      </c>
      <c r="AE10" s="27">
        <v>0.25326736363892027</v>
      </c>
      <c r="AF10" s="27">
        <v>7.3851493610920305E-2</v>
      </c>
      <c r="AG10" s="27">
        <v>4.5333834525929116E-2</v>
      </c>
      <c r="AH10" s="32">
        <f t="shared" si="0"/>
        <v>4.2550966877452812</v>
      </c>
      <c r="AI10"/>
      <c r="AJ10" s="14">
        <v>1.2238623332154885</v>
      </c>
      <c r="AK10" s="7"/>
      <c r="AL10" s="7"/>
    </row>
    <row r="11" spans="1:38" s="6" customFormat="1" x14ac:dyDescent="0.25">
      <c r="A11" s="21" t="s">
        <v>52</v>
      </c>
      <c r="B11" s="26">
        <v>0.21365086784951945</v>
      </c>
      <c r="C11" s="27">
        <v>1.0707678065220996</v>
      </c>
      <c r="D11" s="27">
        <v>0.16861503686611448</v>
      </c>
      <c r="E11" s="27">
        <v>0.13269745655430262</v>
      </c>
      <c r="F11" s="27">
        <v>0.5553798706495352</v>
      </c>
      <c r="G11" s="27">
        <v>0.14107136966372708</v>
      </c>
      <c r="H11" s="27">
        <v>0.42734641144634017</v>
      </c>
      <c r="I11" s="27">
        <v>0.72966332668752565</v>
      </c>
      <c r="J11" s="27">
        <v>5.7719273499594914</v>
      </c>
      <c r="K11" s="27">
        <v>0.17119507236538806</v>
      </c>
      <c r="L11" s="27">
        <v>0.83648283227733655</v>
      </c>
      <c r="M11" s="27">
        <v>0.27238967279417781</v>
      </c>
      <c r="N11" s="27">
        <v>0.36258033490346092</v>
      </c>
      <c r="O11" s="27">
        <v>1.3592629524210618</v>
      </c>
      <c r="P11" s="27">
        <v>0.6167624698173747</v>
      </c>
      <c r="Q11" s="27">
        <v>0.60635646905618745</v>
      </c>
      <c r="R11" s="27">
        <v>0.26275724441235893</v>
      </c>
      <c r="S11" s="27">
        <v>0.19037576566712555</v>
      </c>
      <c r="T11" s="27">
        <v>1.2241855642170489</v>
      </c>
      <c r="U11" s="27">
        <v>0.3749307028866099</v>
      </c>
      <c r="V11" s="27">
        <v>0.76875691388709422</v>
      </c>
      <c r="W11" s="27">
        <v>0.49157736547281022</v>
      </c>
      <c r="X11" s="27">
        <v>0.38347190597648706</v>
      </c>
      <c r="Y11" s="27">
        <v>0.3802995564832225</v>
      </c>
      <c r="Z11" s="27">
        <v>0.46438813722324473</v>
      </c>
      <c r="AA11" s="27">
        <v>0.56813960548371689</v>
      </c>
      <c r="AB11" s="27">
        <v>0.26044564721152985</v>
      </c>
      <c r="AC11" s="27">
        <v>0.51673118484347036</v>
      </c>
      <c r="AD11" s="27">
        <v>0.13300965106120954</v>
      </c>
      <c r="AE11" s="27">
        <v>0.95372955308129459</v>
      </c>
      <c r="AF11" s="27">
        <v>0.3144352842049829</v>
      </c>
      <c r="AG11" s="27">
        <v>0.1574543692972028</v>
      </c>
      <c r="AH11" s="32">
        <f t="shared" si="0"/>
        <v>20.880837751243053</v>
      </c>
      <c r="AI11"/>
      <c r="AJ11" s="14">
        <v>1.1864874668733203</v>
      </c>
      <c r="AK11" s="7"/>
      <c r="AL11" s="7"/>
    </row>
    <row r="12" spans="1:38" s="6" customFormat="1" x14ac:dyDescent="0.25">
      <c r="A12" s="21" t="s">
        <v>43</v>
      </c>
      <c r="B12" s="26">
        <v>6.5351651887269963E-2</v>
      </c>
      <c r="C12" s="27">
        <v>0.23911596370594679</v>
      </c>
      <c r="D12" s="27">
        <v>4.3446931609111707E-2</v>
      </c>
      <c r="E12" s="27">
        <v>3.8347178242385593E-2</v>
      </c>
      <c r="F12" s="27">
        <v>0.18467897060508393</v>
      </c>
      <c r="G12" s="27">
        <v>5.0080670214535369E-2</v>
      </c>
      <c r="H12" s="27">
        <v>0.15298866841283165</v>
      </c>
      <c r="I12" s="27">
        <v>0.15305266720927313</v>
      </c>
      <c r="J12" s="27">
        <v>1.0205037462106283</v>
      </c>
      <c r="K12" s="27">
        <v>7.2966520030982585E-2</v>
      </c>
      <c r="L12" s="27">
        <v>0.22899647398102871</v>
      </c>
      <c r="M12" s="27">
        <v>0.11142079202878859</v>
      </c>
      <c r="N12" s="27">
        <v>0.10263607807942098</v>
      </c>
      <c r="O12" s="27">
        <v>0.36448933991073196</v>
      </c>
      <c r="P12" s="27">
        <v>0.13260667146763505</v>
      </c>
      <c r="Q12" s="27">
        <v>0.20844518032557083</v>
      </c>
      <c r="R12" s="27">
        <v>7.11018820246231E-2</v>
      </c>
      <c r="S12" s="27">
        <v>5.739586365611201E-2</v>
      </c>
      <c r="T12" s="27">
        <v>0.31037249560900149</v>
      </c>
      <c r="U12" s="27">
        <v>0.13718413982981595</v>
      </c>
      <c r="V12" s="27">
        <v>0.17934145153181005</v>
      </c>
      <c r="W12" s="27">
        <v>0.10768764204315222</v>
      </c>
      <c r="X12" s="27">
        <v>8.8521018006698315E-2</v>
      </c>
      <c r="Y12" s="27">
        <v>0.1084062237927652</v>
      </c>
      <c r="Z12" s="27">
        <v>0.14738306512327859</v>
      </c>
      <c r="AA12" s="27">
        <v>0.14278049510553983</v>
      </c>
      <c r="AB12" s="27">
        <v>8.6636720095478598E-2</v>
      </c>
      <c r="AC12" s="27">
        <v>0.17371996491575026</v>
      </c>
      <c r="AD12" s="27">
        <v>3.814284996888901E-2</v>
      </c>
      <c r="AE12" s="27">
        <v>0.35788227612583484</v>
      </c>
      <c r="AF12" s="27">
        <v>0.10137762383851137</v>
      </c>
      <c r="AG12" s="27">
        <v>5.8360931039822317E-2</v>
      </c>
      <c r="AH12" s="32">
        <f t="shared" si="0"/>
        <v>5.3354221466283098</v>
      </c>
      <c r="AI12"/>
      <c r="AJ12" s="14">
        <v>1.3190930414171111</v>
      </c>
      <c r="AK12" s="7"/>
      <c r="AL12" s="7"/>
    </row>
    <row r="13" spans="1:38" s="6" customFormat="1" x14ac:dyDescent="0.25">
      <c r="A13" s="21" t="s">
        <v>34</v>
      </c>
      <c r="B13" s="26">
        <v>6.0992971697764797E-2</v>
      </c>
      <c r="C13" s="27">
        <v>0.10274836350521001</v>
      </c>
      <c r="D13" s="27">
        <v>3.1347718002488818E-2</v>
      </c>
      <c r="E13" s="27">
        <v>2.6883217696809035E-2</v>
      </c>
      <c r="F13" s="27">
        <v>0.13893179258223232</v>
      </c>
      <c r="G13" s="27">
        <v>3.9021470112295419E-2</v>
      </c>
      <c r="H13" s="27">
        <v>0.12965662067784672</v>
      </c>
      <c r="I13" s="27">
        <v>0.10783937493788202</v>
      </c>
      <c r="J13" s="27">
        <v>0.7546980703409687</v>
      </c>
      <c r="K13" s="27">
        <v>4.5944603772633839E-2</v>
      </c>
      <c r="L13" s="27">
        <v>0.15368801462245102</v>
      </c>
      <c r="M13" s="27">
        <v>6.0792310040401115E-2</v>
      </c>
      <c r="N13" s="27">
        <v>9.8933339387503899E-2</v>
      </c>
      <c r="O13" s="27">
        <v>0.28649235332830769</v>
      </c>
      <c r="P13" s="27">
        <v>0.11850676454668548</v>
      </c>
      <c r="Q13" s="27">
        <v>0.24667939700806063</v>
      </c>
      <c r="R13" s="27">
        <v>4.4097142307648753E-2</v>
      </c>
      <c r="S13" s="27">
        <v>5.6420295682779495E-2</v>
      </c>
      <c r="T13" s="27">
        <v>0.20897704535281789</v>
      </c>
      <c r="U13" s="27">
        <v>0.15655974240379705</v>
      </c>
      <c r="V13" s="27">
        <v>0.15048388213606531</v>
      </c>
      <c r="W13" s="27">
        <v>8.5903065703537285E-2</v>
      </c>
      <c r="X13" s="27">
        <v>6.2262648999098946E-2</v>
      </c>
      <c r="Y13" s="27">
        <v>0.12601461484109891</v>
      </c>
      <c r="Z13" s="27">
        <v>0.13208395361397368</v>
      </c>
      <c r="AA13" s="27">
        <v>0.10906603008816532</v>
      </c>
      <c r="AB13" s="27">
        <v>4.8002411421053673E-2</v>
      </c>
      <c r="AC13" s="27">
        <v>0.12063106987239661</v>
      </c>
      <c r="AD13" s="27">
        <v>2.0917494771053778E-2</v>
      </c>
      <c r="AE13" s="27">
        <v>0.25982340077250687</v>
      </c>
      <c r="AF13" s="27">
        <v>8.6760265075228174E-2</v>
      </c>
      <c r="AG13" s="27">
        <v>5.7776684127539973E-2</v>
      </c>
      <c r="AH13" s="32">
        <f t="shared" si="0"/>
        <v>4.1289361294283031</v>
      </c>
      <c r="AI13"/>
      <c r="AJ13" s="14">
        <v>1.344061910611269</v>
      </c>
      <c r="AK13" s="7"/>
      <c r="AL13" s="7"/>
    </row>
    <row r="14" spans="1:38" s="6" customFormat="1" x14ac:dyDescent="0.25">
      <c r="A14" s="21" t="s">
        <v>35</v>
      </c>
      <c r="B14" s="26">
        <v>0.17787215498964604</v>
      </c>
      <c r="C14" s="27">
        <v>0.74398965802651496</v>
      </c>
      <c r="D14" s="27">
        <v>0.13671655126559842</v>
      </c>
      <c r="E14" s="27">
        <v>8.9044467542365724E-2</v>
      </c>
      <c r="F14" s="27">
        <v>0.60942939491546233</v>
      </c>
      <c r="G14" s="27">
        <v>0.12420693112824256</v>
      </c>
      <c r="H14" s="27">
        <v>0.34550548116105428</v>
      </c>
      <c r="I14" s="27">
        <v>0.55274999473228681</v>
      </c>
      <c r="J14" s="27">
        <v>2.3553322763322968</v>
      </c>
      <c r="K14" s="27">
        <v>0.16073838763697032</v>
      </c>
      <c r="L14" s="27">
        <v>0.5697180208673891</v>
      </c>
      <c r="M14" s="27">
        <v>0.19312732055569118</v>
      </c>
      <c r="N14" s="27">
        <v>0.23561159634065437</v>
      </c>
      <c r="O14" s="27">
        <v>1.0643384180507334</v>
      </c>
      <c r="P14" s="27">
        <v>0.37046210629847803</v>
      </c>
      <c r="Q14" s="27">
        <v>0.42412102505329191</v>
      </c>
      <c r="R14" s="27">
        <v>0.1745706167204692</v>
      </c>
      <c r="S14" s="27">
        <v>0.15435424820626986</v>
      </c>
      <c r="T14" s="27">
        <v>0.98545456122214636</v>
      </c>
      <c r="U14" s="27">
        <v>0.24822353083611226</v>
      </c>
      <c r="V14" s="27">
        <v>0.44943851353433295</v>
      </c>
      <c r="W14" s="27">
        <v>0.2983541880079616</v>
      </c>
      <c r="X14" s="27">
        <v>0.26173163257693144</v>
      </c>
      <c r="Y14" s="27">
        <v>0.2805794303130254</v>
      </c>
      <c r="Z14" s="27">
        <v>0.41081829278986437</v>
      </c>
      <c r="AA14" s="27">
        <v>0.38239107674514433</v>
      </c>
      <c r="AB14" s="27">
        <v>0.17988444006220539</v>
      </c>
      <c r="AC14" s="27">
        <v>0.41715431759019805</v>
      </c>
      <c r="AD14" s="27">
        <v>9.9650478320359698E-2</v>
      </c>
      <c r="AE14" s="27">
        <v>0.61197527959858622</v>
      </c>
      <c r="AF14" s="27">
        <v>0.24675412115028439</v>
      </c>
      <c r="AG14" s="27">
        <v>0.13057806702466282</v>
      </c>
      <c r="AH14" s="32">
        <f t="shared" si="0"/>
        <v>13.484876579595227</v>
      </c>
      <c r="AI14"/>
      <c r="AJ14" s="14">
        <v>1.3019523162609143</v>
      </c>
      <c r="AK14" s="7"/>
      <c r="AL14" s="7"/>
    </row>
    <row r="15" spans="1:38" s="6" customFormat="1" x14ac:dyDescent="0.25">
      <c r="A15" s="21" t="s">
        <v>44</v>
      </c>
      <c r="B15" s="26">
        <v>6.3215316281166015E-2</v>
      </c>
      <c r="C15" s="27">
        <v>0.2062388179281977</v>
      </c>
      <c r="D15" s="27">
        <v>3.851056547218637E-2</v>
      </c>
      <c r="E15" s="27">
        <v>3.7597862843660498E-2</v>
      </c>
      <c r="F15" s="27">
        <v>0.16172572469083635</v>
      </c>
      <c r="G15" s="27">
        <v>4.1438209011203125E-2</v>
      </c>
      <c r="H15" s="27">
        <v>0.1028160680507417</v>
      </c>
      <c r="I15" s="27">
        <v>0.16791245283007347</v>
      </c>
      <c r="J15" s="27">
        <v>0.97084376094354552</v>
      </c>
      <c r="K15" s="27">
        <v>5.196800247813331E-2</v>
      </c>
      <c r="L15" s="27">
        <v>0.20283631419173476</v>
      </c>
      <c r="M15" s="27">
        <v>8.012057213738602E-2</v>
      </c>
      <c r="N15" s="27">
        <v>9.6988015522049151E-2</v>
      </c>
      <c r="O15" s="27">
        <v>0.3606111950937968</v>
      </c>
      <c r="P15" s="27">
        <v>0.11149915103437678</v>
      </c>
      <c r="Q15" s="27">
        <v>0.16595669105661479</v>
      </c>
      <c r="R15" s="27">
        <v>6.8287537828442879E-2</v>
      </c>
      <c r="S15" s="27">
        <v>5.2064896824490441E-2</v>
      </c>
      <c r="T15" s="27">
        <v>0.29627935164944375</v>
      </c>
      <c r="U15" s="27">
        <v>9.1622669260485984E-2</v>
      </c>
      <c r="V15" s="27">
        <v>0.17282723164778685</v>
      </c>
      <c r="W15" s="27">
        <v>8.9618289578851026E-2</v>
      </c>
      <c r="X15" s="27">
        <v>9.2745930553776501E-2</v>
      </c>
      <c r="Y15" s="27">
        <v>9.5777203369721425E-2</v>
      </c>
      <c r="Z15" s="27">
        <v>0.13561528191827024</v>
      </c>
      <c r="AA15" s="27">
        <v>0.12930723508180156</v>
      </c>
      <c r="AB15" s="27">
        <v>6.5810264441497637E-2</v>
      </c>
      <c r="AC15" s="27">
        <v>0.15327043120959361</v>
      </c>
      <c r="AD15" s="27">
        <v>3.6157171660263394E-2</v>
      </c>
      <c r="AE15" s="27">
        <v>0.26008788757473289</v>
      </c>
      <c r="AF15" s="27">
        <v>9.206180056352431E-2</v>
      </c>
      <c r="AG15" s="27">
        <v>4.5692339920007756E-2</v>
      </c>
      <c r="AH15" s="32">
        <f t="shared" si="0"/>
        <v>4.7375042426483915</v>
      </c>
      <c r="AI15"/>
      <c r="AJ15" s="14">
        <v>0.92285399674038582</v>
      </c>
      <c r="AK15" s="7"/>
      <c r="AL15" s="7"/>
    </row>
    <row r="16" spans="1:38" s="6" customFormat="1" x14ac:dyDescent="0.25">
      <c r="A16" s="21" t="s">
        <v>45</v>
      </c>
      <c r="B16" s="26">
        <v>2.9823957205284496E-2</v>
      </c>
      <c r="C16" s="27">
        <v>0.10279943380083373</v>
      </c>
      <c r="D16" s="27">
        <v>1.6779785318853255E-2</v>
      </c>
      <c r="E16" s="27">
        <v>1.5898237113301617E-2</v>
      </c>
      <c r="F16" s="27">
        <v>7.5794291171897177E-2</v>
      </c>
      <c r="G16" s="27">
        <v>2.5310194228283078E-2</v>
      </c>
      <c r="H16" s="27">
        <v>3.8456904147698583E-2</v>
      </c>
      <c r="I16" s="27">
        <v>6.4845611530347513E-2</v>
      </c>
      <c r="J16" s="27">
        <v>0.66371407544933836</v>
      </c>
      <c r="K16" s="27">
        <v>2.9181784807720313E-2</v>
      </c>
      <c r="L16" s="27">
        <v>0.10030445978145908</v>
      </c>
      <c r="M16" s="27">
        <v>4.8722561060518928E-2</v>
      </c>
      <c r="N16" s="27">
        <v>5.8524826804927321E-2</v>
      </c>
      <c r="O16" s="27">
        <v>0.17871298226633064</v>
      </c>
      <c r="P16" s="27">
        <v>8.6668328217023957E-2</v>
      </c>
      <c r="Q16" s="27">
        <v>8.8325738786040067E-2</v>
      </c>
      <c r="R16" s="27">
        <v>2.8061383715627965E-2</v>
      </c>
      <c r="S16" s="27">
        <v>2.2796690911350202E-2</v>
      </c>
      <c r="T16" s="27">
        <v>0.10598067300056718</v>
      </c>
      <c r="U16" s="27">
        <v>4.4658533421205307E-2</v>
      </c>
      <c r="V16" s="27">
        <v>0.10556247673801387</v>
      </c>
      <c r="W16" s="27">
        <v>4.5028538992732042E-2</v>
      </c>
      <c r="X16" s="27">
        <v>5.2231011699629071E-2</v>
      </c>
      <c r="Y16" s="27">
        <v>6.1693636834134528E-2</v>
      </c>
      <c r="Z16" s="27">
        <v>5.4160589443092468E-2</v>
      </c>
      <c r="AA16" s="27">
        <v>5.3256592328986177E-2</v>
      </c>
      <c r="AB16" s="27">
        <v>3.7010469670628862E-2</v>
      </c>
      <c r="AC16" s="27">
        <v>5.9974274186714617E-2</v>
      </c>
      <c r="AD16" s="27">
        <v>2.2961629257770039E-2</v>
      </c>
      <c r="AE16" s="27">
        <v>0.14454536810926319</v>
      </c>
      <c r="AF16" s="27">
        <v>4.7513936796735413E-2</v>
      </c>
      <c r="AG16" s="27">
        <v>2.0240639090426712E-2</v>
      </c>
      <c r="AH16" s="32">
        <f t="shared" si="0"/>
        <v>2.5295396158867351</v>
      </c>
      <c r="AI16"/>
      <c r="AJ16" s="14">
        <v>1.3172183936004651</v>
      </c>
      <c r="AK16" s="7"/>
      <c r="AL16" s="7"/>
    </row>
    <row r="17" spans="1:38" s="6" customFormat="1" x14ac:dyDescent="0.25">
      <c r="A17" s="21" t="s">
        <v>46</v>
      </c>
      <c r="B17" s="26">
        <v>3.5782781568242855E-2</v>
      </c>
      <c r="C17" s="27">
        <v>0.12682656899871708</v>
      </c>
      <c r="D17" s="27">
        <v>1.2649791927816768E-2</v>
      </c>
      <c r="E17" s="27">
        <v>1.6819451627779029E-2</v>
      </c>
      <c r="F17" s="27">
        <v>0.11906409735286706</v>
      </c>
      <c r="G17" s="27">
        <v>1.6624585755621011E-2</v>
      </c>
      <c r="H17" s="27">
        <v>4.3063706063746723E-2</v>
      </c>
      <c r="I17" s="27">
        <v>7.1012607689546994E-2</v>
      </c>
      <c r="J17" s="27">
        <v>0.60757018337317992</v>
      </c>
      <c r="K17" s="27">
        <v>2.9764093705287892E-2</v>
      </c>
      <c r="L17" s="27">
        <v>0.11416498932261296</v>
      </c>
      <c r="M17" s="27">
        <v>2.6643122394381775E-2</v>
      </c>
      <c r="N17" s="27">
        <v>3.5860697432873553E-2</v>
      </c>
      <c r="O17" s="27">
        <v>0.16976964226596039</v>
      </c>
      <c r="P17" s="27">
        <v>4.1435225050772517E-2</v>
      </c>
      <c r="Q17" s="27">
        <v>8.5151418506184656E-2</v>
      </c>
      <c r="R17" s="27">
        <v>3.2243369360122925E-2</v>
      </c>
      <c r="S17" s="27">
        <v>1.7589333019178519E-2</v>
      </c>
      <c r="T17" s="27">
        <v>0.18177690993672846</v>
      </c>
      <c r="U17" s="27">
        <v>3.934582928134267E-2</v>
      </c>
      <c r="V17" s="27">
        <v>8.0363922380573466E-2</v>
      </c>
      <c r="W17" s="27">
        <v>6.3285889328495271E-2</v>
      </c>
      <c r="X17" s="27">
        <v>4.4899277350021458E-2</v>
      </c>
      <c r="Y17" s="27">
        <v>5.62910374585587E-2</v>
      </c>
      <c r="Z17" s="27">
        <v>3.977744736283343E-2</v>
      </c>
      <c r="AA17" s="27">
        <v>5.7744253495511794E-2</v>
      </c>
      <c r="AB17" s="27">
        <v>2.9918335225609979E-2</v>
      </c>
      <c r="AC17" s="27">
        <v>9.7717631821086046E-2</v>
      </c>
      <c r="AD17" s="27">
        <v>1.6382492908927602E-2</v>
      </c>
      <c r="AE17" s="27">
        <v>0.11118688569169202</v>
      </c>
      <c r="AF17" s="27">
        <v>5.0060709162962826E-2</v>
      </c>
      <c r="AG17" s="27">
        <v>1.642169050049215E-2</v>
      </c>
      <c r="AH17" s="32">
        <f t="shared" si="0"/>
        <v>2.487207977319728</v>
      </c>
      <c r="AI17"/>
      <c r="AJ17" s="14">
        <v>1.2780982836246395</v>
      </c>
      <c r="AK17" s="7"/>
      <c r="AL17" s="7"/>
    </row>
    <row r="18" spans="1:38" s="6" customFormat="1" x14ac:dyDescent="0.25">
      <c r="A18" s="21" t="s">
        <v>47</v>
      </c>
      <c r="B18" s="26">
        <v>0.16194744973512756</v>
      </c>
      <c r="C18" s="27">
        <v>0.54577014068218999</v>
      </c>
      <c r="D18" s="27">
        <v>0.11065449088605285</v>
      </c>
      <c r="E18" s="27">
        <v>9.1740131609022862E-2</v>
      </c>
      <c r="F18" s="27">
        <v>0.30358581675749402</v>
      </c>
      <c r="G18" s="27">
        <v>0.13239373039664612</v>
      </c>
      <c r="H18" s="27">
        <v>0.21946402562853079</v>
      </c>
      <c r="I18" s="27">
        <v>0.40415015969536899</v>
      </c>
      <c r="J18" s="27">
        <v>2.7000071397841721</v>
      </c>
      <c r="K18" s="27">
        <v>0.10754157488765749</v>
      </c>
      <c r="L18" s="27">
        <v>0.44670350806105669</v>
      </c>
      <c r="M18" s="27">
        <v>0.18151375497215277</v>
      </c>
      <c r="N18" s="27">
        <v>0.23325796197757567</v>
      </c>
      <c r="O18" s="27">
        <v>0.94248829830236025</v>
      </c>
      <c r="P18" s="27">
        <v>0.34037103939666807</v>
      </c>
      <c r="Q18" s="27">
        <v>0.48255318116382601</v>
      </c>
      <c r="R18" s="27">
        <v>0.16778029103336309</v>
      </c>
      <c r="S18" s="27">
        <v>0.14859798037335983</v>
      </c>
      <c r="T18" s="27">
        <v>0.54827698963823912</v>
      </c>
      <c r="U18" s="27">
        <v>0.23318579705562612</v>
      </c>
      <c r="V18" s="27">
        <v>0.37650022107800912</v>
      </c>
      <c r="W18" s="27">
        <v>0.21728176325930762</v>
      </c>
      <c r="X18" s="27">
        <v>0.3054137909283976</v>
      </c>
      <c r="Y18" s="27">
        <v>0.22662759123197745</v>
      </c>
      <c r="Z18" s="27">
        <v>0.27731403752446371</v>
      </c>
      <c r="AA18" s="27">
        <v>0.24615290187163516</v>
      </c>
      <c r="AB18" s="27">
        <v>0.12772821363293688</v>
      </c>
      <c r="AC18" s="27">
        <v>0.29458178245328176</v>
      </c>
      <c r="AD18" s="27">
        <v>6.333916635152502E-2</v>
      </c>
      <c r="AE18" s="27">
        <v>0.56022459658305257</v>
      </c>
      <c r="AF18" s="27">
        <v>0.25605681455510804</v>
      </c>
      <c r="AG18" s="27">
        <v>9.9310319634430655E-2</v>
      </c>
      <c r="AH18" s="32">
        <f t="shared" si="0"/>
        <v>11.55251466114062</v>
      </c>
      <c r="AI18"/>
      <c r="AJ18" s="14">
        <v>1.5034062911006243</v>
      </c>
      <c r="AK18" s="7"/>
      <c r="AL18" s="7"/>
    </row>
    <row r="19" spans="1:38" s="6" customFormat="1" x14ac:dyDescent="0.25">
      <c r="A19" s="21" t="s">
        <v>48</v>
      </c>
      <c r="B19" s="26">
        <v>2.0610099971357801E-3</v>
      </c>
      <c r="C19" s="27">
        <v>9.3110157083259974E-3</v>
      </c>
      <c r="D19" s="27">
        <v>7.3463231788210056E-4</v>
      </c>
      <c r="E19" s="27">
        <v>2.9434195158240125E-3</v>
      </c>
      <c r="F19" s="27">
        <v>5.8795588085567355E-3</v>
      </c>
      <c r="G19" s="27">
        <v>1.8185800218959891E-3</v>
      </c>
      <c r="H19" s="27">
        <v>1.5976296927373691E-3</v>
      </c>
      <c r="I19" s="27">
        <v>1.0462620087151259E-2</v>
      </c>
      <c r="J19" s="27">
        <v>8.1387545983496318E-2</v>
      </c>
      <c r="K19" s="27">
        <v>2.3228220961816334E-3</v>
      </c>
      <c r="L19" s="27">
        <v>5.6733191118910906E-3</v>
      </c>
      <c r="M19" s="27">
        <v>1.0033565575175848E-3</v>
      </c>
      <c r="N19" s="27">
        <v>1.5844787134642524E-3</v>
      </c>
      <c r="O19" s="27">
        <v>3.206755717013466E-2</v>
      </c>
      <c r="P19" s="27">
        <v>3.9688561450778722E-3</v>
      </c>
      <c r="Q19" s="27">
        <v>2.8262935275986073E-3</v>
      </c>
      <c r="R19" s="27">
        <v>1.3272013889952246E-3</v>
      </c>
      <c r="S19" s="27">
        <v>1.5542689728058939E-3</v>
      </c>
      <c r="T19" s="27">
        <v>2.0054814619279621E-2</v>
      </c>
      <c r="U19" s="27">
        <v>2.0259798451370639E-3</v>
      </c>
      <c r="V19" s="27">
        <v>3.1108018481089184E-3</v>
      </c>
      <c r="W19" s="27">
        <v>7.3062447719625884E-3</v>
      </c>
      <c r="X19" s="27">
        <v>3.8532871510598304E-3</v>
      </c>
      <c r="Y19" s="27">
        <v>2.91754434957356E-3</v>
      </c>
      <c r="Z19" s="27">
        <v>7.2158487766644684E-3</v>
      </c>
      <c r="AA19" s="27">
        <v>4.1217902667662976E-3</v>
      </c>
      <c r="AB19" s="27">
        <v>1.3826599829592583E-3</v>
      </c>
      <c r="AC19" s="27">
        <v>3.6067927901540617E-3</v>
      </c>
      <c r="AD19" s="27">
        <v>5.0534177520227094E-4</v>
      </c>
      <c r="AE19" s="27">
        <v>8.3591207685526654E-3</v>
      </c>
      <c r="AF19" s="27">
        <v>3.8240586203985853E-3</v>
      </c>
      <c r="AG19" s="27">
        <v>1.0182184301607935E-3</v>
      </c>
      <c r="AH19" s="32">
        <f t="shared" si="0"/>
        <v>0.23782666981265235</v>
      </c>
      <c r="AI19"/>
      <c r="AJ19" s="14">
        <v>1.6925317857022799</v>
      </c>
      <c r="AK19" s="7"/>
      <c r="AL19" s="7"/>
    </row>
    <row r="20" spans="1:38" s="6" customFormat="1" ht="15.75" thickBot="1" x14ac:dyDescent="0.3">
      <c r="A20" s="22" t="s">
        <v>49</v>
      </c>
      <c r="B20" s="28">
        <v>7.1757983425966398E-2</v>
      </c>
      <c r="C20" s="29">
        <v>0.30827167088850771</v>
      </c>
      <c r="D20" s="29">
        <v>4.7322385361539918E-2</v>
      </c>
      <c r="E20" s="29">
        <v>4.0800602367302402E-2</v>
      </c>
      <c r="F20" s="29">
        <v>0.21060533016393154</v>
      </c>
      <c r="G20" s="29">
        <v>4.79324060170567E-2</v>
      </c>
      <c r="H20" s="29">
        <v>0.1641005332078202</v>
      </c>
      <c r="I20" s="29">
        <v>0.20072464331739379</v>
      </c>
      <c r="J20" s="29">
        <v>1.1600531327401058</v>
      </c>
      <c r="K20" s="29">
        <v>7.4284298472323512E-2</v>
      </c>
      <c r="L20" s="29">
        <v>0.28237908993428151</v>
      </c>
      <c r="M20" s="29">
        <v>0.11450250150406852</v>
      </c>
      <c r="N20" s="29">
        <v>0.11916731045716894</v>
      </c>
      <c r="O20" s="29">
        <v>0.44955111698934097</v>
      </c>
      <c r="P20" s="29">
        <v>0.16420039313751042</v>
      </c>
      <c r="Q20" s="29">
        <v>0.21767402188142163</v>
      </c>
      <c r="R20" s="29">
        <v>8.2316994577217389E-2</v>
      </c>
      <c r="S20" s="29">
        <v>6.0416906215506105E-2</v>
      </c>
      <c r="T20" s="29">
        <v>0.32971435753491318</v>
      </c>
      <c r="U20" s="29">
        <v>0.14028794164434005</v>
      </c>
      <c r="V20" s="29">
        <v>0.22031285486501545</v>
      </c>
      <c r="W20" s="29">
        <v>0.11871224201534031</v>
      </c>
      <c r="X20" s="29">
        <v>0.10312997834546823</v>
      </c>
      <c r="Y20" s="29">
        <v>0.12963320141973173</v>
      </c>
      <c r="Z20" s="29">
        <v>0.16178216163293901</v>
      </c>
      <c r="AA20" s="29">
        <v>0.1731016670748069</v>
      </c>
      <c r="AB20" s="29">
        <v>8.73781176412496E-2</v>
      </c>
      <c r="AC20" s="29">
        <v>0.18276878852036285</v>
      </c>
      <c r="AD20" s="29">
        <v>4.9230040530580541E-2</v>
      </c>
      <c r="AE20" s="29">
        <v>0.33789418807664862</v>
      </c>
      <c r="AF20" s="29">
        <v>0.11105361665924016</v>
      </c>
      <c r="AG20" s="29">
        <v>6.6887038733921877E-2</v>
      </c>
      <c r="AH20" s="33">
        <f t="shared" si="0"/>
        <v>6.0279475153530218</v>
      </c>
      <c r="AI20"/>
      <c r="AJ20" s="15">
        <v>1.399032420111455</v>
      </c>
      <c r="AK20" s="7"/>
      <c r="AL20" s="7"/>
    </row>
    <row r="21" spans="1:38" ht="16.5" thickTop="1" thickBot="1" x14ac:dyDescent="0.3">
      <c r="A21" s="23" t="s">
        <v>36</v>
      </c>
      <c r="B21" s="18">
        <f t="shared" ref="B21:AH21" si="1">+SUM(B8:B20)</f>
        <v>1.269655182796158</v>
      </c>
      <c r="C21" s="8">
        <f t="shared" si="1"/>
        <v>4.2763815502785807</v>
      </c>
      <c r="D21" s="8">
        <f t="shared" si="1"/>
        <v>0.83409169600122557</v>
      </c>
      <c r="E21" s="8">
        <f t="shared" si="1"/>
        <v>0.68590387698863942</v>
      </c>
      <c r="F21" s="8">
        <f t="shared" si="1"/>
        <v>3.1159228107848209</v>
      </c>
      <c r="G21" s="8">
        <f t="shared" si="1"/>
        <v>0.80091160279829754</v>
      </c>
      <c r="H21" s="8">
        <f t="shared" si="1"/>
        <v>2.5594397890653662</v>
      </c>
      <c r="I21" s="8">
        <f t="shared" si="1"/>
        <v>3.207446054930998</v>
      </c>
      <c r="J21" s="8">
        <f t="shared" si="1"/>
        <v>22.428937002262909</v>
      </c>
      <c r="K21" s="8">
        <f t="shared" si="1"/>
        <v>1.0256723569057664</v>
      </c>
      <c r="L21" s="8">
        <f t="shared" si="1"/>
        <v>4.1590869276339077</v>
      </c>
      <c r="M21" s="8">
        <f t="shared" si="1"/>
        <v>1.6941513756933679</v>
      </c>
      <c r="N21" s="8">
        <f t="shared" si="1"/>
        <v>1.9657164988670948</v>
      </c>
      <c r="O21" s="8">
        <f t="shared" si="1"/>
        <v>7.3551437587247053</v>
      </c>
      <c r="P21" s="8">
        <f t="shared" si="1"/>
        <v>3.107767382089178</v>
      </c>
      <c r="Q21" s="8">
        <f t="shared" si="1"/>
        <v>3.5837039713126031</v>
      </c>
      <c r="R21" s="8">
        <f t="shared" si="1"/>
        <v>1.3313368451870009</v>
      </c>
      <c r="S21" s="8">
        <f t="shared" si="1"/>
        <v>1.0393025519599119</v>
      </c>
      <c r="T21" s="8">
        <f t="shared" si="1"/>
        <v>5.4385498901514939</v>
      </c>
      <c r="U21" s="8">
        <f t="shared" si="1"/>
        <v>2.3117712381912638</v>
      </c>
      <c r="V21" s="8">
        <f t="shared" si="1"/>
        <v>3.7569739232432267</v>
      </c>
      <c r="W21" s="8">
        <f t="shared" si="1"/>
        <v>2.1040136365508988</v>
      </c>
      <c r="X21" s="8">
        <f t="shared" si="1"/>
        <v>1.9637415486809955</v>
      </c>
      <c r="Y21" s="8">
        <f t="shared" si="1"/>
        <v>2.0447820810517325</v>
      </c>
      <c r="Z21" s="8">
        <f t="shared" si="1"/>
        <v>2.5171386055053069</v>
      </c>
      <c r="AA21" s="8">
        <f t="shared" si="1"/>
        <v>2.4909900832637581</v>
      </c>
      <c r="AB21" s="8">
        <f t="shared" si="1"/>
        <v>1.4096993591246718</v>
      </c>
      <c r="AC21" s="8">
        <f t="shared" si="1"/>
        <v>2.7572306427472459</v>
      </c>
      <c r="AD21" s="8">
        <f t="shared" si="1"/>
        <v>0.73369251182471096</v>
      </c>
      <c r="AE21" s="8">
        <f t="shared" si="1"/>
        <v>5.2033448506888638</v>
      </c>
      <c r="AF21" s="8">
        <f t="shared" si="1"/>
        <v>1.8707286168538799</v>
      </c>
      <c r="AG21" s="8">
        <f t="shared" si="1"/>
        <v>0.95677177784141054</v>
      </c>
      <c r="AH21" s="11">
        <f t="shared" si="1"/>
        <v>99.999999999999972</v>
      </c>
      <c r="AJ21" s="16"/>
      <c r="AK21" s="7"/>
      <c r="AL21" s="7"/>
    </row>
    <row r="22" spans="1:38" ht="15.75" thickTop="1" x14ac:dyDescent="0.25"/>
    <row r="23" spans="1:38" ht="15.75" x14ac:dyDescent="0.25">
      <c r="A23" s="9" t="s">
        <v>57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</row>
    <row r="24" spans="1:38" x14ac:dyDescent="0.25">
      <c r="A24" s="9" t="s">
        <v>37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</row>
    <row r="25" spans="1:38" x14ac:dyDescent="0.25">
      <c r="A25" s="9" t="s">
        <v>38</v>
      </c>
    </row>
    <row r="26" spans="1:38" x14ac:dyDescent="0.25">
      <c r="A26" s="9" t="s">
        <v>39</v>
      </c>
    </row>
    <row r="27" spans="1:38" x14ac:dyDescent="0.25">
      <c r="A27" s="9" t="s">
        <v>40</v>
      </c>
    </row>
    <row r="29" spans="1:38" x14ac:dyDescent="0.25">
      <c r="A29" t="s">
        <v>60</v>
      </c>
    </row>
    <row r="30" spans="1:38" x14ac:dyDescent="0.25">
      <c r="A30" s="9" t="s">
        <v>58</v>
      </c>
    </row>
    <row r="31" spans="1:38" x14ac:dyDescent="0.25">
      <c r="A31" s="9" t="s">
        <v>59</v>
      </c>
    </row>
    <row r="35" spans="1:1" x14ac:dyDescent="0.25">
      <c r="A35"/>
    </row>
  </sheetData>
  <mergeCells count="5">
    <mergeCell ref="A1:AG1"/>
    <mergeCell ref="A2:AG2"/>
    <mergeCell ref="B3:V3"/>
    <mergeCell ref="A4:AG4"/>
    <mergeCell ref="A5:A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CCIF_Entidad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Blanca Covarrubias</dc:creator>
  <cp:lastModifiedBy>MENDOZA HERNANDEZ ALAN GEOVANNI</cp:lastModifiedBy>
  <dcterms:created xsi:type="dcterms:W3CDTF">2024-07-26T22:01:13Z</dcterms:created>
  <dcterms:modified xsi:type="dcterms:W3CDTF">2024-08-28T14:51:12Z</dcterms:modified>
</cp:coreProperties>
</file>